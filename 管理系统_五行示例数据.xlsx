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采购" sheetId="2" state="visible" r:id="rId2"/>
    <sheet xmlns:r="http://schemas.openxmlformats.org/officeDocument/2006/relationships" name="仓库" sheetId="3" state="visible" r:id="rId3"/>
    <sheet xmlns:r="http://schemas.openxmlformats.org/officeDocument/2006/relationships" name="销售" sheetId="4" state="visible" r:id="rId4"/>
    <sheet xmlns:r="http://schemas.openxmlformats.org/officeDocument/2006/relationships" name="统计" sheetId="5" state="visible" r:id="rId5"/>
    <sheet xmlns:r="http://schemas.openxmlformats.org/officeDocument/2006/relationships" name="导入用_供应商" sheetId="6" state="visible" r:id="rId6"/>
    <sheet xmlns:r="http://schemas.openxmlformats.org/officeDocument/2006/relationships" name="导入用_产品" sheetId="7" state="visible" r:id="rId7"/>
    <sheet xmlns:r="http://schemas.openxmlformats.org/officeDocument/2006/relationships" name="导入用_客户" sheetId="8" state="visible" r:id="rId8"/>
    <sheet xmlns:r="http://schemas.openxmlformats.org/officeDocument/2006/relationships" name="导入用_采购订单" sheetId="9" state="visible" r:id="rId9"/>
    <sheet xmlns:r="http://schemas.openxmlformats.org/officeDocument/2006/relationships" name="导入用_销售订单" sheetId="10" state="visible" r:id="rId10"/>
  </sheets>
  <definedNames>
    <definedName name="_xlnm._FilterDatabase" localSheetId="5" hidden="1">'导入用_供应商'!$A$1:$K$6</definedName>
    <definedName name="_xlnm._FilterDatabase" localSheetId="6" hidden="1">'导入用_产品'!$A$1:$K$6</definedName>
    <definedName name="_xlnm._FilterDatabase" localSheetId="7" hidden="1">'导入用_客户'!$A$1:$M$6</definedName>
    <definedName name="_xlnm._FilterDatabase" localSheetId="8" hidden="1">'导入用_采购订单'!$A$1:$O$6</definedName>
    <definedName name="_xlnm._FilterDatabase" localSheetId="9" hidden="1">'导入用_销售订单'!$A$1:$H$6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color rgb="FFFF0000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164" fontId="0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I11" sqref="I11"/>
    </sheetView>
  </sheetViews>
  <sheetFormatPr baseColWidth="8" defaultRowHeight="14"/>
  <cols>
    <col width="48.75" customWidth="1" style="14" min="1" max="1"/>
    <col width="10.6640625" customWidth="1" style="14" min="2" max="2"/>
    <col width="78.75" customWidth="1" style="14" min="3" max="3"/>
    <col width="8.6640625" customWidth="1" style="14" min="4" max="16384"/>
  </cols>
  <sheetData>
    <row r="1" ht="35" customHeight="1">
      <c r="A1" s="8" t="inlineStr">
        <is>
          <t>功能描述</t>
        </is>
      </c>
      <c r="B1" s="8" t="n"/>
      <c r="C1" s="8" t="inlineStr">
        <is>
          <t>具体说明</t>
        </is>
      </c>
    </row>
    <row r="2" ht="76" customHeight="1">
      <c r="A2" s="17" t="inlineStr">
        <is>
          <t xml:space="preserve">公司运营管理系统，主要记录采购，销售，仓库，统计。 系统主要分为四个部分。 采购负责管理供应商，产品信息。库存，销售系统主要负责管理客户，及销售的相关备件。  统计主要是统计单日，单月，季度，年度的进货，出货情况， 同时查询销售及进货的记录。 系统分二组管理权限，一级可编辑所有数据， 二级只能选择相关。 </t>
        </is>
      </c>
      <c r="B2" s="8" t="inlineStr">
        <is>
          <t>采购</t>
        </is>
      </c>
      <c r="C2" s="17" t="inlineStr">
        <is>
          <t>这个功能主要管理供应商的，供应商可以一次性上传到系统，每次采购都需要生成一个采购单 。这单子上有产品的信息，附件有模版。</t>
        </is>
      </c>
    </row>
    <row r="3">
      <c r="A3" s="18" t="n"/>
      <c r="B3" s="19" t="n"/>
      <c r="C3" s="19" t="n"/>
    </row>
    <row r="4">
      <c r="A4" s="18" t="n"/>
      <c r="B4" s="8" t="inlineStr">
        <is>
          <t>仓库</t>
        </is>
      </c>
      <c r="C4" s="17" t="inlineStr">
        <is>
          <t>将采购的信息保存到库量，可以盘库，查询。显示实际库存量，安全库存，以及货期。 例如采购了一件货，库里就有一个，如果再销售一件，系统仓库里就剩余0。 可以按产品信息来搜索</t>
        </is>
      </c>
    </row>
    <row r="5" ht="49.5" customHeight="1">
      <c r="A5" s="18" t="n"/>
      <c r="B5" s="19" t="n"/>
      <c r="C5" s="19" t="n"/>
    </row>
    <row r="6">
      <c r="A6" s="18" t="n"/>
      <c r="B6" s="8" t="inlineStr">
        <is>
          <t>销售</t>
        </is>
      </c>
      <c r="C6" s="17" t="inlineStr">
        <is>
          <t>可以管理客户，客户信息一次上传，每销售一笔要生成一个销售清单</t>
        </is>
      </c>
    </row>
    <row r="7">
      <c r="A7" s="18" t="n"/>
      <c r="B7" s="18" t="n"/>
      <c r="C7" s="18" t="n"/>
    </row>
    <row r="8" ht="11" customHeight="1">
      <c r="A8" s="18" t="n"/>
      <c r="B8" s="18" t="n"/>
      <c r="C8" s="18" t="n"/>
    </row>
    <row r="9" hidden="1" ht="14" customHeight="1">
      <c r="A9" s="18" t="n"/>
      <c r="B9" s="18" t="n"/>
      <c r="C9" s="18" t="n"/>
    </row>
    <row r="10" ht="17" customHeight="1">
      <c r="A10" s="18" t="n"/>
      <c r="B10" s="19" t="n"/>
      <c r="C10" s="19" t="n"/>
    </row>
    <row r="11" ht="61.5" customHeight="1">
      <c r="A11" s="19" t="n"/>
      <c r="B11" s="8" t="inlineStr">
        <is>
          <t>统计</t>
        </is>
      </c>
      <c r="C11" s="8" t="inlineStr">
        <is>
          <t>按周，月，季度，年度显示采购量，销售量。 统计单品或是单个订单的利润等</t>
        </is>
      </c>
    </row>
  </sheetData>
  <mergeCells count="7">
    <mergeCell ref="B4:B5"/>
    <mergeCell ref="C4:C5"/>
    <mergeCell ref="A2:A11"/>
    <mergeCell ref="B6:B10"/>
    <mergeCell ref="B2:B3"/>
    <mergeCell ref="C6:C10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145" zoomScaleNormal="145" workbookViewId="0">
      <selection activeCell="G20" sqref="G20"/>
    </sheetView>
  </sheetViews>
  <sheetFormatPr baseColWidth="8" defaultRowHeight="14"/>
  <cols>
    <col width="16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  <col width="16" customWidth="1" style="1" min="9" max="9"/>
    <col width="16" customWidth="1" style="1" min="10" max="10"/>
    <col width="16" customWidth="1" style="1" min="11" max="11"/>
    <col width="16" customWidth="1" style="1" min="12" max="12"/>
    <col width="16" customWidth="1" style="1" min="13" max="13"/>
    <col width="16" customWidth="1" style="1" min="14" max="16384"/>
    <col width="16" customWidth="1" min="15" max="15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>
      <c r="A2" s="29" t="inlineStr">
        <is>
          <t>供应商录入模版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4" t="n"/>
      <c r="O2" s="24" t="n"/>
    </row>
    <row r="3">
      <c r="A3" s="30" t="inlineStr">
        <is>
          <t>编号</t>
        </is>
      </c>
      <c r="B3" s="30" t="inlineStr">
        <is>
          <t>名称</t>
        </is>
      </c>
      <c r="C3" s="30" t="inlineStr">
        <is>
          <t>等级</t>
        </is>
      </c>
      <c r="D3" s="30" t="inlineStr">
        <is>
          <t>联系人</t>
        </is>
      </c>
      <c r="E3" s="30" t="inlineStr">
        <is>
          <t>电话</t>
        </is>
      </c>
      <c r="F3" s="30" t="inlineStr">
        <is>
          <t>地址</t>
        </is>
      </c>
      <c r="G3" s="30" t="inlineStr">
        <is>
          <t>账户信息</t>
        </is>
      </c>
      <c r="H3" s="30" t="inlineStr">
        <is>
          <t>照片</t>
        </is>
      </c>
      <c r="I3" s="30" t="inlineStr">
        <is>
          <t>公司资料</t>
        </is>
      </c>
      <c r="J3" s="30" t="inlineStr">
        <is>
          <t>公司类型</t>
        </is>
      </c>
      <c r="K3" s="30" t="inlineStr">
        <is>
          <t>结算时间</t>
        </is>
      </c>
      <c r="L3" s="22" t="n"/>
      <c r="M3" s="22" t="n"/>
      <c r="N3" s="24" t="n"/>
      <c r="O3" s="24" t="n"/>
    </row>
    <row r="4">
      <c r="A4" s="22" t="inlineStr">
        <is>
          <t>SUP0001</t>
        </is>
      </c>
      <c r="B4" s="22" t="inlineStr">
        <is>
          <t>上海精工自动化有限公司</t>
        </is>
      </c>
      <c r="C4" s="22" t="inlineStr">
        <is>
          <t>A</t>
        </is>
      </c>
      <c r="D4" s="22" t="inlineStr">
        <is>
          <t>张强</t>
        </is>
      </c>
      <c r="E4" s="22" t="inlineStr">
        <is>
          <t>13800010001</t>
        </is>
      </c>
      <c r="F4" s="22" t="inlineStr">
        <is>
          <t>上海市浦东新区张江路88号</t>
        </is>
      </c>
      <c r="G4" s="22" t="inlineStr">
        <is>
          <t>工行上海分行 6222****0001</t>
        </is>
      </c>
      <c r="H4" s="22" t="inlineStr"/>
      <c r="I4" s="22" t="inlineStr"/>
      <c r="J4" s="22" t="inlineStr">
        <is>
          <t>私企</t>
        </is>
      </c>
      <c r="K4" s="22" t="inlineStr">
        <is>
          <t>预付30%，发货70%</t>
        </is>
      </c>
      <c r="L4" s="22" t="n"/>
      <c r="M4" s="22" t="n"/>
      <c r="N4" s="24" t="n"/>
      <c r="O4" s="24" t="n"/>
    </row>
    <row r="5">
      <c r="A5" s="22" t="inlineStr">
        <is>
          <t>SUP0002</t>
        </is>
      </c>
      <c r="B5" s="22" t="inlineStr">
        <is>
          <t>苏州德瑞机电贸易有限公司</t>
        </is>
      </c>
      <c r="C5" s="22" t="inlineStr">
        <is>
          <t>B</t>
        </is>
      </c>
      <c r="D5" s="22" t="inlineStr">
        <is>
          <t>李娜</t>
        </is>
      </c>
      <c r="E5" s="22" t="inlineStr">
        <is>
          <t>13800010002</t>
        </is>
      </c>
      <c r="F5" s="22" t="inlineStr">
        <is>
          <t>苏州市工业园区星湖街66号</t>
        </is>
      </c>
      <c r="G5" s="22" t="inlineStr">
        <is>
          <t>建行苏州分行 6222****0002</t>
        </is>
      </c>
      <c r="H5" s="22" t="inlineStr"/>
      <c r="I5" s="22" t="inlineStr"/>
      <c r="J5" s="22" t="inlineStr">
        <is>
          <t>私企</t>
        </is>
      </c>
      <c r="K5" s="22" t="inlineStr">
        <is>
          <t>月结</t>
        </is>
      </c>
      <c r="L5" s="22" t="n"/>
      <c r="M5" s="22" t="n"/>
      <c r="N5" s="24" t="n"/>
      <c r="O5" s="24" t="n"/>
    </row>
    <row r="6">
      <c r="A6" s="22" t="inlineStr">
        <is>
          <t>SUP0003</t>
        </is>
      </c>
      <c r="B6" s="22" t="inlineStr">
        <is>
          <t>德国贝克传动中国办事处</t>
        </is>
      </c>
      <c r="C6" s="22" t="inlineStr">
        <is>
          <t>A</t>
        </is>
      </c>
      <c r="D6" s="22" t="inlineStr">
        <is>
          <t>王晨</t>
        </is>
      </c>
      <c r="E6" s="22" t="inlineStr">
        <is>
          <t>13800010003</t>
        </is>
      </c>
      <c r="F6" s="22" t="inlineStr">
        <is>
          <t>北京市朝阳区建国路100号</t>
        </is>
      </c>
      <c r="G6" s="22" t="inlineStr">
        <is>
          <t>中行北京分行 6222****0003</t>
        </is>
      </c>
      <c r="H6" s="22" t="inlineStr"/>
      <c r="I6" s="22" t="inlineStr"/>
      <c r="J6" s="22" t="inlineStr">
        <is>
          <t>外企</t>
        </is>
      </c>
      <c r="K6" s="22" t="inlineStr">
        <is>
          <t>预付100%</t>
        </is>
      </c>
      <c r="L6" s="22" t="n"/>
      <c r="M6" s="22" t="n"/>
      <c r="N6" s="24" t="n"/>
      <c r="O6" s="24" t="n"/>
    </row>
    <row r="7">
      <c r="A7" s="22" t="inlineStr">
        <is>
          <t>SUP0004</t>
        </is>
      </c>
      <c r="B7" s="22" t="inlineStr">
        <is>
          <t>宁波华兴液压配件厂</t>
        </is>
      </c>
      <c r="C7" s="22" t="inlineStr">
        <is>
          <t>B</t>
        </is>
      </c>
      <c r="D7" s="22" t="inlineStr">
        <is>
          <t>赵磊</t>
        </is>
      </c>
      <c r="E7" s="22" t="inlineStr">
        <is>
          <t>13800010004</t>
        </is>
      </c>
      <c r="F7" s="22" t="inlineStr">
        <is>
          <t>宁波市北仑区富春江路18号</t>
        </is>
      </c>
      <c r="G7" s="22" t="inlineStr">
        <is>
          <t>农行宁波分行 6222****0004</t>
        </is>
      </c>
      <c r="H7" s="22" t="inlineStr"/>
      <c r="I7" s="22" t="inlineStr"/>
      <c r="J7" s="22" t="inlineStr">
        <is>
          <t>私企</t>
        </is>
      </c>
      <c r="K7" s="22" t="inlineStr">
        <is>
          <t>货到付款</t>
        </is>
      </c>
      <c r="L7" s="24" t="n"/>
      <c r="M7" s="24" t="n"/>
      <c r="N7" s="24" t="n"/>
      <c r="O7" s="24" t="n"/>
    </row>
    <row r="8" ht="18" customHeight="1">
      <c r="A8" s="30" t="inlineStr">
        <is>
          <t>SUP0005</t>
        </is>
      </c>
      <c r="B8" s="30" t="inlineStr">
        <is>
          <t>昆山宏达五金经营部</t>
        </is>
      </c>
      <c r="C8" s="30" t="inlineStr">
        <is>
          <t>C</t>
        </is>
      </c>
      <c r="D8" s="30" t="inlineStr">
        <is>
          <t>陈敏</t>
        </is>
      </c>
      <c r="E8" s="30" t="inlineStr">
        <is>
          <t>13800010005</t>
        </is>
      </c>
      <c r="F8" s="30" t="inlineStr">
        <is>
          <t>昆山市玉山镇前进路12号</t>
        </is>
      </c>
      <c r="G8" s="30" t="inlineStr">
        <is>
          <t>支付宝 13800010005</t>
        </is>
      </c>
      <c r="H8" s="22" t="inlineStr"/>
      <c r="I8" s="22" t="inlineStr"/>
      <c r="J8" s="30" t="inlineStr">
        <is>
          <t>个人</t>
        </is>
      </c>
      <c r="K8" s="30" t="inlineStr">
        <is>
          <t>现金</t>
        </is>
      </c>
      <c r="L8" s="22" t="n"/>
      <c r="M8" s="22" t="n"/>
      <c r="N8" s="24" t="n"/>
      <c r="O8" s="24" t="n"/>
    </row>
    <row r="9">
      <c r="A9" s="30" t="inlineStr">
        <is>
          <t>采购单号</t>
        </is>
      </c>
      <c r="B9" s="30" t="inlineStr">
        <is>
          <t>供应商</t>
        </is>
      </c>
      <c r="C9" s="30" t="inlineStr">
        <is>
          <t>采购日期</t>
        </is>
      </c>
      <c r="D9" s="30" t="inlineStr">
        <is>
          <t>备件编号</t>
        </is>
      </c>
      <c r="E9" s="30" t="inlineStr">
        <is>
          <t>产品名称</t>
        </is>
      </c>
      <c r="F9" s="30" t="inlineStr">
        <is>
          <t>技术描述</t>
        </is>
      </c>
      <c r="G9" s="30" t="inlineStr">
        <is>
          <t>单位</t>
        </is>
      </c>
      <c r="H9" s="30" t="inlineStr">
        <is>
          <t>数量</t>
        </is>
      </c>
      <c r="I9" s="30" t="inlineStr">
        <is>
          <t>单价</t>
        </is>
      </c>
      <c r="J9" s="30" t="inlineStr">
        <is>
          <t>合计</t>
        </is>
      </c>
      <c r="K9" s="30" t="inlineStr">
        <is>
          <t>照片</t>
        </is>
      </c>
      <c r="L9" s="30" t="inlineStr">
        <is>
          <t>应用设备</t>
        </is>
      </c>
      <c r="M9" s="30" t="inlineStr">
        <is>
          <t>备件类型</t>
        </is>
      </c>
      <c r="N9" s="31" t="inlineStr">
        <is>
          <t>质保时间</t>
        </is>
      </c>
      <c r="O9" s="31" t="inlineStr">
        <is>
          <t>产地</t>
        </is>
      </c>
    </row>
    <row r="10">
      <c r="A10" s="22" t="inlineStr">
        <is>
          <t>PO202606190001</t>
        </is>
      </c>
      <c r="B10" s="22" t="inlineStr">
        <is>
          <t>上海精工自动化有限公司</t>
        </is>
      </c>
      <c r="C10" s="23" t="inlineStr">
        <is>
          <t>2026-06-19</t>
        </is>
      </c>
      <c r="D10" s="22" t="inlineStr">
        <is>
          <t>SP0001</t>
        </is>
      </c>
      <c r="E10" s="22" t="inlineStr">
        <is>
          <t>伺服驱动器</t>
        </is>
      </c>
      <c r="F10" s="22" t="inlineStr">
        <is>
          <t>MR-J4-70A 750W</t>
        </is>
      </c>
      <c r="G10" s="22" t="inlineStr">
        <is>
          <t>个</t>
        </is>
      </c>
      <c r="H10" s="22" t="n">
        <v>2</v>
      </c>
      <c r="I10" s="22" t="n">
        <v>3200</v>
      </c>
      <c r="J10" s="22" t="n">
        <v>6400</v>
      </c>
      <c r="K10" s="22" t="inlineStr"/>
      <c r="L10" s="22" t="inlineStr">
        <is>
          <t>熔炼</t>
        </is>
      </c>
      <c r="M10" s="22" t="inlineStr">
        <is>
          <t>电气</t>
        </is>
      </c>
      <c r="N10" s="24" t="inlineStr">
        <is>
          <t>12个月</t>
        </is>
      </c>
      <c r="O10" s="24" t="inlineStr">
        <is>
          <t>日本</t>
        </is>
      </c>
    </row>
    <row r="11">
      <c r="A11" s="22" t="inlineStr">
        <is>
          <t>PO202606190002</t>
        </is>
      </c>
      <c r="B11" s="22" t="inlineStr">
        <is>
          <t>苏州德瑞机电贸易有限公司</t>
        </is>
      </c>
      <c r="C11" s="23" t="inlineStr">
        <is>
          <t>2026-06-19</t>
        </is>
      </c>
      <c r="D11" s="22" t="inlineStr">
        <is>
          <t>SP0002</t>
        </is>
      </c>
      <c r="E11" s="22" t="inlineStr">
        <is>
          <t>深沟球轴承</t>
        </is>
      </c>
      <c r="F11" s="22" t="inlineStr">
        <is>
          <t>6205 ZZ</t>
        </is>
      </c>
      <c r="G11" s="22" t="inlineStr">
        <is>
          <t>件</t>
        </is>
      </c>
      <c r="H11" s="22" t="n">
        <v>10</v>
      </c>
      <c r="I11" s="22" t="n">
        <v>18</v>
      </c>
      <c r="J11" s="22" t="n">
        <v>180</v>
      </c>
      <c r="K11" s="22" t="inlineStr"/>
      <c r="L11" s="22" t="inlineStr">
        <is>
          <t>加热</t>
        </is>
      </c>
      <c r="M11" s="22" t="inlineStr">
        <is>
          <t>机械</t>
        </is>
      </c>
      <c r="N11" s="24" t="inlineStr">
        <is>
          <t>6个月</t>
        </is>
      </c>
      <c r="O11" s="24" t="inlineStr">
        <is>
          <t>中国</t>
        </is>
      </c>
    </row>
    <row r="12">
      <c r="A12" s="30" t="inlineStr">
        <is>
          <t>PO202606190003</t>
        </is>
      </c>
      <c r="B12" s="30" t="inlineStr">
        <is>
          <t>德国贝克传动中国办事处</t>
        </is>
      </c>
      <c r="C12" s="32" t="inlineStr">
        <is>
          <t>2026-06-19</t>
        </is>
      </c>
      <c r="D12" s="30" t="inlineStr">
        <is>
          <t>SP0003</t>
        </is>
      </c>
      <c r="E12" s="30" t="inlineStr">
        <is>
          <t>液压电磁阀</t>
        </is>
      </c>
      <c r="F12" s="30" t="inlineStr">
        <is>
          <t>DSG-03-3C2-D24</t>
        </is>
      </c>
      <c r="G12" s="30" t="inlineStr">
        <is>
          <t>个</t>
        </is>
      </c>
      <c r="H12" s="30" t="n">
        <v>3</v>
      </c>
      <c r="I12" s="30" t="n">
        <v>860</v>
      </c>
      <c r="J12" s="30" t="n">
        <v>2580</v>
      </c>
      <c r="K12" s="22" t="inlineStr"/>
      <c r="L12" s="30" t="inlineStr">
        <is>
          <t>其它</t>
        </is>
      </c>
      <c r="M12" s="30" t="inlineStr">
        <is>
          <t>液体</t>
        </is>
      </c>
      <c r="N12" s="31" t="inlineStr">
        <is>
          <t>12个月</t>
        </is>
      </c>
      <c r="O12" s="31" t="inlineStr">
        <is>
          <t>德国</t>
        </is>
      </c>
    </row>
    <row r="13">
      <c r="A13" s="30" t="inlineStr">
        <is>
          <t>PO202606190004</t>
        </is>
      </c>
      <c r="B13" s="30" t="inlineStr">
        <is>
          <t>宁波华兴液压配件厂</t>
        </is>
      </c>
      <c r="C13" s="32" t="inlineStr">
        <is>
          <t>2026-06-19</t>
        </is>
      </c>
      <c r="D13" s="30" t="inlineStr">
        <is>
          <t>SP0004</t>
        </is>
      </c>
      <c r="E13" s="30" t="inlineStr">
        <is>
          <t>高温密封圈</t>
        </is>
      </c>
      <c r="F13" s="30" t="inlineStr">
        <is>
          <t>FKM 80*95*8</t>
        </is>
      </c>
      <c r="G13" s="30" t="inlineStr">
        <is>
          <t>套</t>
        </is>
      </c>
      <c r="H13" s="30" t="n">
        <v>20</v>
      </c>
      <c r="I13" s="30" t="n">
        <v>35</v>
      </c>
      <c r="J13" s="30" t="n">
        <v>700</v>
      </c>
      <c r="K13" s="22" t="inlineStr"/>
      <c r="L13" s="30" t="inlineStr">
        <is>
          <t>熔炼</t>
        </is>
      </c>
      <c r="M13" s="30" t="inlineStr">
        <is>
          <t>其它</t>
        </is>
      </c>
      <c r="N13" s="31" t="inlineStr">
        <is>
          <t>1个月</t>
        </is>
      </c>
      <c r="O13" s="31" t="inlineStr">
        <is>
          <t>美国</t>
        </is>
      </c>
    </row>
    <row r="14">
      <c r="A14" s="22" t="inlineStr">
        <is>
          <t>PO202606190005</t>
        </is>
      </c>
      <c r="B14" s="22" t="inlineStr">
        <is>
          <t>昆山宏达五金经营部</t>
        </is>
      </c>
      <c r="C14" s="23" t="inlineStr">
        <is>
          <t>2026-06-19</t>
        </is>
      </c>
      <c r="D14" s="22" t="inlineStr">
        <is>
          <t>SP0005</t>
        </is>
      </c>
      <c r="E14" s="22" t="inlineStr">
        <is>
          <t>温度传感器</t>
        </is>
      </c>
      <c r="F14" s="22" t="inlineStr">
        <is>
          <t>PT100 M8 探头</t>
        </is>
      </c>
      <c r="G14" s="22" t="inlineStr">
        <is>
          <t>个</t>
        </is>
      </c>
      <c r="H14" s="22" t="n">
        <v>5</v>
      </c>
      <c r="I14" s="22" t="n">
        <v>120</v>
      </c>
      <c r="J14" s="22" t="n">
        <v>600</v>
      </c>
      <c r="K14" s="22" t="inlineStr"/>
      <c r="L14" s="22" t="inlineStr">
        <is>
          <t>加热</t>
        </is>
      </c>
      <c r="M14" s="22" t="inlineStr">
        <is>
          <t>电气</t>
        </is>
      </c>
      <c r="N14" s="24" t="inlineStr">
        <is>
          <t>6个月</t>
        </is>
      </c>
      <c r="O14" s="24" t="inlineStr">
        <is>
          <t>中国</t>
        </is>
      </c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33" t="inlineStr">
        <is>
          <t>总计</t>
        </is>
      </c>
      <c r="J15" s="33">
        <f>SUM(J10:J14)</f>
        <v/>
      </c>
      <c r="K15" s="24" t="n"/>
      <c r="L15" s="24" t="n"/>
      <c r="M15" s="24" t="n"/>
      <c r="N15" s="24" t="n"/>
      <c r="O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</row>
    <row r="18">
      <c r="A18" s="24" t="n"/>
      <c r="B18" s="34" t="inlineStr">
        <is>
          <t xml:space="preserve">说明：红色部分是必填项，如果没有数据是不能生成的。 </t>
        </is>
      </c>
      <c r="C18" s="24" t="n"/>
      <c r="D18" s="24" t="n"/>
      <c r="E18" s="24" t="n"/>
      <c r="F18" s="34" t="inlineStr">
        <is>
          <t>填完后有一个确定按钮</t>
        </is>
      </c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45" zoomScaleNormal="145" workbookViewId="0">
      <selection activeCell="D12" sqref="D12"/>
    </sheetView>
  </sheetViews>
  <sheetFormatPr baseColWidth="8" defaultRowHeight="14"/>
  <cols>
    <col width="16" customWidth="1" style="1" min="1" max="1"/>
    <col width="16" customWidth="1" style="1" min="2" max="2"/>
    <col width="16" customWidth="1" style="1" min="3" max="4"/>
    <col width="16" customWidth="1" min="4" max="4"/>
    <col width="16" customWidth="1" style="1" min="5" max="6"/>
    <col width="16" customWidth="1" min="6" max="6"/>
    <col width="16" customWidth="1" style="1" min="7" max="7"/>
    <col width="16" customWidth="1" style="1" min="8" max="16384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9" t="inlineStr">
        <is>
          <t>产品模版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</row>
    <row r="2">
      <c r="A2" s="30" t="inlineStr">
        <is>
          <t>备件编号</t>
        </is>
      </c>
      <c r="B2" s="30" t="inlineStr">
        <is>
          <t>产品名称</t>
        </is>
      </c>
      <c r="C2" s="30" t="inlineStr">
        <is>
          <t>技术描述</t>
        </is>
      </c>
      <c r="D2" s="30" t="inlineStr">
        <is>
          <t>单位</t>
        </is>
      </c>
      <c r="E2" s="30" t="inlineStr">
        <is>
          <t>当前库存</t>
        </is>
      </c>
      <c r="F2" s="30" t="inlineStr">
        <is>
          <t>安全库存</t>
        </is>
      </c>
      <c r="G2" s="30" t="inlineStr">
        <is>
          <t>照片</t>
        </is>
      </c>
      <c r="H2" s="30" t="inlineStr">
        <is>
          <t>应用设备</t>
        </is>
      </c>
      <c r="I2" s="30" t="inlineStr">
        <is>
          <t>备件类型</t>
        </is>
      </c>
      <c r="J2" s="30" t="inlineStr">
        <is>
          <t>质保时间</t>
        </is>
      </c>
      <c r="K2" s="30" t="inlineStr">
        <is>
          <t>产地</t>
        </is>
      </c>
      <c r="L2" s="22" t="n"/>
      <c r="M2" s="22" t="n"/>
      <c r="N2" s="22" t="n"/>
    </row>
    <row r="3">
      <c r="A3" s="30" t="inlineStr">
        <is>
          <t>SP0001</t>
        </is>
      </c>
      <c r="B3" s="30" t="inlineStr">
        <is>
          <t>伺服驱动器</t>
        </is>
      </c>
      <c r="C3" s="30" t="inlineStr">
        <is>
          <t>MR-J4-70A 750W</t>
        </is>
      </c>
      <c r="D3" s="30" t="inlineStr">
        <is>
          <t>个</t>
        </is>
      </c>
      <c r="E3" s="30" t="n">
        <v>8</v>
      </c>
      <c r="F3" s="30" t="n">
        <v>2</v>
      </c>
      <c r="G3" s="22" t="inlineStr"/>
      <c r="H3" s="30" t="inlineStr">
        <is>
          <t>熔炼</t>
        </is>
      </c>
      <c r="I3" s="30" t="inlineStr">
        <is>
          <t>电气</t>
        </is>
      </c>
      <c r="J3" s="30" t="inlineStr">
        <is>
          <t>12个月</t>
        </is>
      </c>
      <c r="K3" s="30" t="inlineStr">
        <is>
          <t>日本</t>
        </is>
      </c>
      <c r="L3" s="22" t="n"/>
      <c r="M3" s="22" t="n"/>
      <c r="N3" s="22" t="n"/>
    </row>
    <row r="4">
      <c r="A4" s="22" t="inlineStr">
        <is>
          <t>SP0002</t>
        </is>
      </c>
      <c r="B4" s="22" t="inlineStr">
        <is>
          <t>深沟球轴承</t>
        </is>
      </c>
      <c r="C4" s="22" t="inlineStr">
        <is>
          <t>6205 ZZ</t>
        </is>
      </c>
      <c r="D4" s="22" t="inlineStr">
        <is>
          <t>件</t>
        </is>
      </c>
      <c r="E4" s="22" t="n">
        <v>35</v>
      </c>
      <c r="F4" s="22" t="n">
        <v>10</v>
      </c>
      <c r="G4" s="22" t="inlineStr"/>
      <c r="H4" s="22" t="inlineStr">
        <is>
          <t>加热</t>
        </is>
      </c>
      <c r="I4" s="22" t="inlineStr">
        <is>
          <t>机械</t>
        </is>
      </c>
      <c r="J4" s="22" t="inlineStr">
        <is>
          <t>6个月</t>
        </is>
      </c>
      <c r="K4" s="22" t="inlineStr">
        <is>
          <t>中国</t>
        </is>
      </c>
      <c r="L4" s="22" t="n"/>
      <c r="M4" s="22" t="n"/>
      <c r="N4" s="22" t="n"/>
    </row>
    <row r="5">
      <c r="A5" s="22" t="inlineStr">
        <is>
          <t>SP0003</t>
        </is>
      </c>
      <c r="B5" s="22" t="inlineStr">
        <is>
          <t>液压电磁阀</t>
        </is>
      </c>
      <c r="C5" s="22" t="inlineStr">
        <is>
          <t>DSG-03-3C2-D24</t>
        </is>
      </c>
      <c r="D5" s="22" t="inlineStr">
        <is>
          <t>个</t>
        </is>
      </c>
      <c r="E5" s="22" t="n">
        <v>12</v>
      </c>
      <c r="F5" s="22" t="n">
        <v>4</v>
      </c>
      <c r="G5" s="22" t="inlineStr"/>
      <c r="H5" s="22" t="inlineStr">
        <is>
          <t>其它</t>
        </is>
      </c>
      <c r="I5" s="22" t="inlineStr">
        <is>
          <t>液体</t>
        </is>
      </c>
      <c r="J5" s="22" t="inlineStr">
        <is>
          <t>12个月</t>
        </is>
      </c>
      <c r="K5" s="22" t="inlineStr">
        <is>
          <t>德国</t>
        </is>
      </c>
      <c r="L5" s="22" t="n"/>
      <c r="M5" s="22" t="n"/>
      <c r="N5" s="22" t="n"/>
    </row>
    <row r="6">
      <c r="A6" s="22" t="inlineStr">
        <is>
          <t>SP0004</t>
        </is>
      </c>
      <c r="B6" s="22" t="inlineStr">
        <is>
          <t>高温密封圈</t>
        </is>
      </c>
      <c r="C6" s="22" t="inlineStr">
        <is>
          <t>FKM 80*95*8</t>
        </is>
      </c>
      <c r="D6" s="22" t="inlineStr">
        <is>
          <t>套</t>
        </is>
      </c>
      <c r="E6" s="22" t="n">
        <v>50</v>
      </c>
      <c r="F6" s="22" t="n">
        <v>15</v>
      </c>
      <c r="G6" s="22" t="inlineStr"/>
      <c r="H6" s="22" t="inlineStr">
        <is>
          <t>熔炼</t>
        </is>
      </c>
      <c r="I6" s="22" t="inlineStr">
        <is>
          <t>其它</t>
        </is>
      </c>
      <c r="J6" s="22" t="inlineStr">
        <is>
          <t>1个月</t>
        </is>
      </c>
      <c r="K6" s="22" t="inlineStr">
        <is>
          <t>美国</t>
        </is>
      </c>
      <c r="L6" s="22" t="n"/>
      <c r="M6" s="22" t="n"/>
      <c r="N6" s="22" t="n"/>
    </row>
    <row r="7">
      <c r="A7" s="22" t="inlineStr">
        <is>
          <t>SP0005</t>
        </is>
      </c>
      <c r="B7" s="22" t="inlineStr">
        <is>
          <t>温度传感器</t>
        </is>
      </c>
      <c r="C7" s="22" t="inlineStr">
        <is>
          <t>PT100 M8 探头</t>
        </is>
      </c>
      <c r="D7" s="22" t="inlineStr">
        <is>
          <t>个</t>
        </is>
      </c>
      <c r="E7" s="22" t="n">
        <v>20</v>
      </c>
      <c r="F7" s="22" t="n">
        <v>6</v>
      </c>
      <c r="G7" s="22" t="inlineStr"/>
      <c r="H7" s="22" t="inlineStr">
        <is>
          <t>加热</t>
        </is>
      </c>
      <c r="I7" s="22" t="inlineStr">
        <is>
          <t>电气</t>
        </is>
      </c>
      <c r="J7" s="22" t="inlineStr">
        <is>
          <t>6个月</t>
        </is>
      </c>
      <c r="K7" s="22" t="inlineStr">
        <is>
          <t>中国</t>
        </is>
      </c>
      <c r="L7" s="22" t="n"/>
      <c r="M7" s="22" t="n"/>
      <c r="N7" s="2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130" zoomScaleNormal="130" workbookViewId="0">
      <selection activeCell="G23" sqref="G23"/>
    </sheetView>
  </sheetViews>
  <sheetFormatPr baseColWidth="8" defaultRowHeight="14"/>
  <cols>
    <col width="16" customWidth="1" style="1" min="1" max="1"/>
    <col width="16" customWidth="1" style="1" min="2" max="2"/>
    <col width="16" customWidth="1" style="1" min="3" max="3"/>
    <col width="16" customWidth="1" style="1" min="4" max="4"/>
    <col width="16" customWidth="1" style="1" min="5" max="5"/>
    <col width="16" customWidth="1" style="1" min="6" max="6"/>
    <col width="16" customWidth="1" style="1" min="7" max="7"/>
    <col width="16" customWidth="1" style="1" min="8" max="8"/>
    <col width="16" customWidth="1" style="1" min="9" max="9"/>
    <col width="16" customWidth="1" style="1" min="10" max="10"/>
    <col width="16" customWidth="1" style="1" min="11" max="11"/>
    <col width="16" customWidth="1" style="1" min="12" max="12"/>
    <col width="16" customWidth="1" style="1" min="13" max="13"/>
    <col width="8.6640625" customWidth="1" style="1" min="14" max="16384"/>
  </cols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</row>
    <row r="2" ht="16.5" customHeight="1">
      <c r="A2" s="29" t="inlineStr">
        <is>
          <t>客户录入模版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</row>
    <row r="3">
      <c r="A3" s="30" t="inlineStr">
        <is>
          <t>编号</t>
        </is>
      </c>
      <c r="B3" s="30" t="inlineStr">
        <is>
          <t>名称</t>
        </is>
      </c>
      <c r="C3" s="30" t="inlineStr">
        <is>
          <t>等级</t>
        </is>
      </c>
      <c r="D3" s="30" t="inlineStr">
        <is>
          <t>联系人</t>
        </is>
      </c>
      <c r="E3" s="30" t="inlineStr">
        <is>
          <t>电话</t>
        </is>
      </c>
      <c r="F3" s="30" t="inlineStr">
        <is>
          <t>地址</t>
        </is>
      </c>
      <c r="G3" s="30" t="inlineStr">
        <is>
          <t>账户信息</t>
        </is>
      </c>
      <c r="H3" s="30" t="inlineStr">
        <is>
          <t>照片</t>
        </is>
      </c>
      <c r="I3" s="30" t="inlineStr">
        <is>
          <t>公司资料</t>
        </is>
      </c>
      <c r="J3" s="30" t="inlineStr">
        <is>
          <t>公司类型</t>
        </is>
      </c>
      <c r="K3" s="30" t="inlineStr">
        <is>
          <t>结算时间</t>
        </is>
      </c>
      <c r="L3" s="30" t="inlineStr">
        <is>
          <t>应付金额</t>
        </is>
      </c>
      <c r="M3" s="30" t="inlineStr">
        <is>
          <t>实收金额</t>
        </is>
      </c>
    </row>
    <row r="4">
      <c r="A4" s="22" t="inlineStr">
        <is>
          <t>CUS0001</t>
        </is>
      </c>
      <c r="B4" s="22" t="inlineStr">
        <is>
          <t>上海一厂设备部</t>
        </is>
      </c>
      <c r="C4" s="22" t="inlineStr">
        <is>
          <t>A</t>
        </is>
      </c>
      <c r="D4" s="22" t="inlineStr">
        <is>
          <t>刘工</t>
        </is>
      </c>
      <c r="E4" s="22" t="inlineStr">
        <is>
          <t>13900020001</t>
        </is>
      </c>
      <c r="F4" s="22" t="inlineStr">
        <is>
          <t>上海市宝山区铁山路9号</t>
        </is>
      </c>
      <c r="G4" s="22" t="inlineStr">
        <is>
          <t>工行上海分行 6222****1001</t>
        </is>
      </c>
      <c r="H4" s="22" t="inlineStr"/>
      <c r="I4" s="22" t="inlineStr"/>
      <c r="J4" s="22" t="inlineStr">
        <is>
          <t>私企</t>
        </is>
      </c>
      <c r="K4" s="22" t="inlineStr">
        <is>
          <t>月结</t>
        </is>
      </c>
      <c r="L4" s="22" t="n">
        <v>9800</v>
      </c>
      <c r="M4" s="22" t="n">
        <v>8000</v>
      </c>
    </row>
    <row r="5">
      <c r="A5" s="22" t="inlineStr">
        <is>
          <t>CUS0002</t>
        </is>
      </c>
      <c r="B5" s="22" t="inlineStr">
        <is>
          <t>苏州精密制造有限公司</t>
        </is>
      </c>
      <c r="C5" s="22" t="inlineStr">
        <is>
          <t>B</t>
        </is>
      </c>
      <c r="D5" s="22" t="inlineStr">
        <is>
          <t>周经理</t>
        </is>
      </c>
      <c r="E5" s="22" t="inlineStr">
        <is>
          <t>13900020002</t>
        </is>
      </c>
      <c r="F5" s="22" t="inlineStr">
        <is>
          <t>苏州市吴中区金枫路99号</t>
        </is>
      </c>
      <c r="G5" s="22" t="inlineStr">
        <is>
          <t>建行苏州分行 6222****1002</t>
        </is>
      </c>
      <c r="H5" s="22" t="inlineStr"/>
      <c r="I5" s="22" t="inlineStr"/>
      <c r="J5" s="22" t="inlineStr">
        <is>
          <t>私企</t>
        </is>
      </c>
      <c r="K5" s="22" t="inlineStr">
        <is>
          <t>预付30%，发货70%</t>
        </is>
      </c>
      <c r="L5" s="22" t="n">
        <v>4200</v>
      </c>
      <c r="M5" s="22" t="n">
        <v>4200</v>
      </c>
    </row>
    <row r="6">
      <c r="A6" s="22" t="inlineStr">
        <is>
          <t>CUS0003</t>
        </is>
      </c>
      <c r="B6" s="22" t="inlineStr">
        <is>
          <t>杭州热处理中心</t>
        </is>
      </c>
      <c r="C6" s="22" t="inlineStr">
        <is>
          <t>A</t>
        </is>
      </c>
      <c r="D6" s="22" t="inlineStr">
        <is>
          <t>钱工</t>
        </is>
      </c>
      <c r="E6" s="22" t="inlineStr">
        <is>
          <t>13900020003</t>
        </is>
      </c>
      <c r="F6" s="22" t="inlineStr">
        <is>
          <t>杭州市萧山区建设一路18号</t>
        </is>
      </c>
      <c r="G6" s="22" t="inlineStr">
        <is>
          <t>中行杭州分行 6222****1003</t>
        </is>
      </c>
      <c r="H6" s="22" t="inlineStr"/>
      <c r="I6" s="22" t="inlineStr"/>
      <c r="J6" s="22" t="inlineStr">
        <is>
          <t>外企</t>
        </is>
      </c>
      <c r="K6" s="22" t="inlineStr">
        <is>
          <t>预付100%</t>
        </is>
      </c>
      <c r="L6" s="22" t="n">
        <v>7600</v>
      </c>
      <c r="M6" s="22" t="n">
        <v>7600</v>
      </c>
    </row>
    <row r="7">
      <c r="A7" s="22" t="inlineStr">
        <is>
          <t>CUS0004</t>
        </is>
      </c>
      <c r="B7" s="22" t="inlineStr">
        <is>
          <t>宁波压铸有限公司</t>
        </is>
      </c>
      <c r="C7" s="22" t="inlineStr">
        <is>
          <t>B</t>
        </is>
      </c>
      <c r="D7" s="22" t="inlineStr">
        <is>
          <t>孙工</t>
        </is>
      </c>
      <c r="E7" s="22" t="inlineStr">
        <is>
          <t>13900020004</t>
        </is>
      </c>
      <c r="F7" s="22" t="inlineStr">
        <is>
          <t>宁波市镇海区骆驼街道66号</t>
        </is>
      </c>
      <c r="G7" s="22" t="inlineStr">
        <is>
          <t>农行宁波分行 6222****1004</t>
        </is>
      </c>
      <c r="H7" s="22" t="inlineStr"/>
      <c r="I7" s="22" t="inlineStr"/>
      <c r="J7" s="22" t="inlineStr">
        <is>
          <t>私企</t>
        </is>
      </c>
      <c r="K7" s="22" t="inlineStr">
        <is>
          <t>货到付款</t>
        </is>
      </c>
      <c r="L7" s="22" t="n">
        <v>3500</v>
      </c>
      <c r="M7" s="22" t="n">
        <v>2000</v>
      </c>
    </row>
    <row r="8" ht="18" customHeight="1">
      <c r="A8" s="30" t="inlineStr">
        <is>
          <t>CUS0005</t>
        </is>
      </c>
      <c r="B8" s="30" t="inlineStr">
        <is>
          <t>无锡设备维修站</t>
        </is>
      </c>
      <c r="C8" s="30" t="inlineStr">
        <is>
          <t>C</t>
        </is>
      </c>
      <c r="D8" s="30" t="inlineStr">
        <is>
          <t>吴师傅</t>
        </is>
      </c>
      <c r="E8" s="30" t="inlineStr">
        <is>
          <t>13900020005</t>
        </is>
      </c>
      <c r="F8" s="30" t="inlineStr">
        <is>
          <t>无锡市新吴区长江路28号</t>
        </is>
      </c>
      <c r="G8" s="30" t="inlineStr">
        <is>
          <t>微信 13900020005</t>
        </is>
      </c>
      <c r="H8" s="22" t="inlineStr"/>
      <c r="I8" s="22" t="inlineStr"/>
      <c r="J8" s="30" t="inlineStr">
        <is>
          <t>个人</t>
        </is>
      </c>
      <c r="K8" s="30" t="inlineStr">
        <is>
          <t>现金</t>
        </is>
      </c>
      <c r="L8" s="30" t="n">
        <v>1200</v>
      </c>
      <c r="M8" s="30" t="n">
        <v>1200</v>
      </c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</row>
    <row r="12">
      <c r="A12" s="29" t="inlineStr">
        <is>
          <t>销售订单模版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>
      <c r="A13" s="30" t="inlineStr">
        <is>
          <t>备件编号</t>
        </is>
      </c>
      <c r="B13" s="30" t="inlineStr">
        <is>
          <t>产品名称</t>
        </is>
      </c>
      <c r="C13" s="30" t="inlineStr">
        <is>
          <t>技术描述</t>
        </is>
      </c>
      <c r="D13" s="30" t="inlineStr">
        <is>
          <t>单位</t>
        </is>
      </c>
      <c r="E13" s="30" t="inlineStr">
        <is>
          <t>数量</t>
        </is>
      </c>
      <c r="F13" s="30" t="inlineStr">
        <is>
          <t>单价</t>
        </is>
      </c>
      <c r="G13" s="30" t="inlineStr">
        <is>
          <t>合计</t>
        </is>
      </c>
      <c r="H13" s="30" t="inlineStr">
        <is>
          <t>货期</t>
        </is>
      </c>
      <c r="I13" s="22" t="n"/>
      <c r="J13" s="22" t="n"/>
      <c r="K13" s="22" t="n"/>
      <c r="L13" s="22" t="n"/>
      <c r="M13" s="22" t="n"/>
    </row>
    <row r="14">
      <c r="A14" s="22" t="inlineStr">
        <is>
          <t>SP0001</t>
        </is>
      </c>
      <c r="B14" s="22" t="inlineStr">
        <is>
          <t>伺服驱动器</t>
        </is>
      </c>
      <c r="C14" s="22" t="inlineStr">
        <is>
          <t>MR-J4-70A 750W</t>
        </is>
      </c>
      <c r="D14" s="22" t="inlineStr">
        <is>
          <t>个</t>
        </is>
      </c>
      <c r="E14" s="22" t="n">
        <v>1</v>
      </c>
      <c r="F14" s="22" t="n">
        <v>3900</v>
      </c>
      <c r="G14" s="22" t="n">
        <v>3900</v>
      </c>
      <c r="H14" s="22" t="inlineStr">
        <is>
          <t>2026-06-25</t>
        </is>
      </c>
      <c r="I14" s="22" t="n"/>
      <c r="J14" s="22" t="n"/>
      <c r="K14" s="22" t="n"/>
      <c r="L14" s="22" t="n"/>
      <c r="M14" s="22" t="n"/>
    </row>
    <row r="15">
      <c r="A15" s="22" t="inlineStr">
        <is>
          <t>SP0002</t>
        </is>
      </c>
      <c r="B15" s="22" t="inlineStr">
        <is>
          <t>深沟球轴承</t>
        </is>
      </c>
      <c r="C15" s="22" t="inlineStr">
        <is>
          <t>6205 ZZ</t>
        </is>
      </c>
      <c r="D15" s="22" t="inlineStr">
        <is>
          <t>件</t>
        </is>
      </c>
      <c r="E15" s="22" t="n">
        <v>6</v>
      </c>
      <c r="F15" s="22" t="n">
        <v>30</v>
      </c>
      <c r="G15" s="22" t="n">
        <v>180</v>
      </c>
      <c r="H15" s="22" t="inlineStr">
        <is>
          <t>2026-06-22</t>
        </is>
      </c>
      <c r="I15" s="22" t="n"/>
      <c r="J15" s="22" t="n"/>
      <c r="K15" s="22" t="n"/>
      <c r="L15" s="22" t="n"/>
      <c r="M15" s="22" t="n"/>
    </row>
    <row r="16">
      <c r="A16" s="22" t="inlineStr">
        <is>
          <t>SP0003</t>
        </is>
      </c>
      <c r="B16" s="22" t="inlineStr">
        <is>
          <t>液压电磁阀</t>
        </is>
      </c>
      <c r="C16" s="22" t="inlineStr">
        <is>
          <t>DSG-03-3C2-D24</t>
        </is>
      </c>
      <c r="D16" s="22" t="inlineStr">
        <is>
          <t>个</t>
        </is>
      </c>
      <c r="E16" s="22" t="n">
        <v>2</v>
      </c>
      <c r="F16" s="22" t="n">
        <v>1200</v>
      </c>
      <c r="G16" s="22" t="n">
        <v>2400</v>
      </c>
      <c r="H16" s="22" t="inlineStr">
        <is>
          <t>2026-06-28</t>
        </is>
      </c>
      <c r="I16" s="22" t="n"/>
      <c r="J16" s="22" t="n"/>
      <c r="K16" s="22" t="n"/>
      <c r="L16" s="22" t="n"/>
      <c r="M16" s="22" t="n"/>
    </row>
    <row r="17">
      <c r="A17" s="22" t="inlineStr">
        <is>
          <t>SP0004</t>
        </is>
      </c>
      <c r="B17" s="22" t="inlineStr">
        <is>
          <t>高温密封圈</t>
        </is>
      </c>
      <c r="C17" s="22" t="inlineStr">
        <is>
          <t>FKM 80*95*8</t>
        </is>
      </c>
      <c r="D17" s="22" t="inlineStr">
        <is>
          <t>套</t>
        </is>
      </c>
      <c r="E17" s="22" t="n">
        <v>12</v>
      </c>
      <c r="F17" s="22" t="n">
        <v>58</v>
      </c>
      <c r="G17" s="22" t="n">
        <v>696</v>
      </c>
      <c r="H17" s="22" t="inlineStr">
        <is>
          <t>2026-06-23</t>
        </is>
      </c>
      <c r="I17" s="22" t="n"/>
      <c r="J17" s="22" t="n"/>
      <c r="K17" s="22" t="n"/>
      <c r="L17" s="22" t="n"/>
      <c r="M17" s="22" t="n"/>
    </row>
    <row r="18">
      <c r="A18" s="22" t="inlineStr">
        <is>
          <t>SP0005</t>
        </is>
      </c>
      <c r="B18" s="22" t="inlineStr">
        <is>
          <t>温度传感器</t>
        </is>
      </c>
      <c r="C18" s="22" t="inlineStr">
        <is>
          <t>PT100 M8 探头</t>
        </is>
      </c>
      <c r="D18" s="22" t="inlineStr">
        <is>
          <t>个</t>
        </is>
      </c>
      <c r="E18" s="22" t="n">
        <v>4</v>
      </c>
      <c r="F18" s="22" t="n">
        <v>180</v>
      </c>
      <c r="G18" s="22" t="n">
        <v>720</v>
      </c>
      <c r="H18" s="22" t="inlineStr">
        <is>
          <t>2026-06-24</t>
        </is>
      </c>
      <c r="I18" s="22" t="n"/>
      <c r="J18" s="22" t="n"/>
      <c r="K18" s="22" t="n"/>
      <c r="L18" s="22" t="n"/>
      <c r="M18" s="22" t="n"/>
    </row>
    <row r="19">
      <c r="A19" s="24" t="n"/>
      <c r="B19" s="24" t="n"/>
      <c r="C19" s="24" t="n"/>
      <c r="D19" s="24" t="n"/>
      <c r="E19" s="24" t="n"/>
      <c r="F19" s="24" t="inlineStr">
        <is>
          <t>总计</t>
        </is>
      </c>
      <c r="G19" s="24">
        <f>SUM(G14:G18)</f>
        <v/>
      </c>
      <c r="H19" s="24" t="n"/>
      <c r="I19" s="24" t="n"/>
      <c r="J19" s="24" t="n"/>
      <c r="K19" s="24" t="n"/>
      <c r="L19" s="24" t="n"/>
      <c r="M19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="175" zoomScaleNormal="175" workbookViewId="0">
      <selection activeCell="B17" sqref="B17"/>
    </sheetView>
  </sheetViews>
  <sheetFormatPr baseColWidth="8" defaultRowHeight="14"/>
  <cols>
    <col width="16" customWidth="1" style="14" min="1" max="1"/>
    <col width="16" customWidth="1" style="14" min="2" max="16384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29" t="inlineStr">
        <is>
          <t>统计模版</t>
        </is>
      </c>
      <c r="B1" s="22" t="inlineStr">
        <is>
          <t>这个可以选择时间范围内或是按年，月，星期来统计，并生成报表</t>
        </is>
      </c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</row>
    <row r="3">
      <c r="A3" s="30" t="inlineStr">
        <is>
          <t>单个产品采购的统计</t>
        </is>
      </c>
      <c r="B3" s="30" t="inlineStr">
        <is>
          <t>示例：SP0001 采购数量 2，采购金额 6400</t>
        </is>
      </c>
      <c r="C3" s="35" t="n"/>
      <c r="D3" s="35" t="n"/>
      <c r="E3" s="35" t="n"/>
      <c r="F3" s="35" t="n"/>
      <c r="G3" s="35" t="n"/>
      <c r="H3" s="35" t="n"/>
      <c r="I3" s="35" t="n"/>
      <c r="J3" s="36" t="n"/>
    </row>
    <row r="4">
      <c r="A4" s="22" t="inlineStr">
        <is>
          <t>单个产品销售统计</t>
        </is>
      </c>
      <c r="B4" s="22" t="inlineStr">
        <is>
          <t>示例：SP0001 销售数量 1，销售金额 3900</t>
        </is>
      </c>
      <c r="C4" s="22" t="n"/>
      <c r="D4" s="22" t="n"/>
      <c r="E4" s="22" t="n"/>
      <c r="F4" s="22" t="n"/>
      <c r="G4" s="22" t="n"/>
      <c r="H4" s="22" t="n"/>
      <c r="I4" s="22" t="n"/>
      <c r="J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6">
      <c r="A6" s="22" t="inlineStr">
        <is>
          <t>单个订单利润统计</t>
        </is>
      </c>
      <c r="B6" s="22" t="inlineStr">
        <is>
          <t>示例：销售金额 3900 - 估算采购成本 3200 = 利润 700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</row>
    <row r="7">
      <c r="A7" s="22" t="inlineStr">
        <is>
          <t>单个客户销售统计</t>
        </is>
      </c>
      <c r="B7" s="22" t="inlineStr">
        <is>
          <t>示例：上海一厂设备部 应付金额 9800，实收金额 8000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2">
    <mergeCell ref="B1:J1"/>
    <mergeCell ref="B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7" t="inlineStr">
        <is>
          <t>编号</t>
        </is>
      </c>
      <c r="B1" s="37" t="inlineStr">
        <is>
          <t>名称</t>
        </is>
      </c>
      <c r="C1" s="37" t="inlineStr">
        <is>
          <t>等级</t>
        </is>
      </c>
      <c r="D1" s="37" t="inlineStr">
        <is>
          <t>联系人</t>
        </is>
      </c>
      <c r="E1" s="37" t="inlineStr">
        <is>
          <t>电话</t>
        </is>
      </c>
      <c r="F1" s="37" t="inlineStr">
        <is>
          <t>地址</t>
        </is>
      </c>
      <c r="G1" s="37" t="inlineStr">
        <is>
          <t>账户信息</t>
        </is>
      </c>
      <c r="H1" s="37" t="inlineStr">
        <is>
          <t>照片</t>
        </is>
      </c>
      <c r="I1" s="37" t="inlineStr">
        <is>
          <t>公司资料</t>
        </is>
      </c>
      <c r="J1" s="37" t="inlineStr">
        <is>
          <t>公司类型</t>
        </is>
      </c>
      <c r="K1" s="37" t="inlineStr">
        <is>
          <t>结算时间</t>
        </is>
      </c>
    </row>
    <row r="2">
      <c r="A2" t="inlineStr">
        <is>
          <t>SUP0001</t>
        </is>
      </c>
      <c r="B2" t="inlineStr">
        <is>
          <t>上海精工自动化有限公司</t>
        </is>
      </c>
      <c r="C2" t="inlineStr">
        <is>
          <t>A</t>
        </is>
      </c>
      <c r="D2" t="inlineStr">
        <is>
          <t>张强</t>
        </is>
      </c>
      <c r="E2" t="inlineStr">
        <is>
          <t>13800010001</t>
        </is>
      </c>
      <c r="F2" t="inlineStr">
        <is>
          <t>上海市浦东新区张江路88号</t>
        </is>
      </c>
      <c r="G2" t="inlineStr">
        <is>
          <t>工行上海分行 6222****0001</t>
        </is>
      </c>
      <c r="H2" t="inlineStr"/>
      <c r="I2" t="inlineStr"/>
      <c r="J2" t="inlineStr">
        <is>
          <t>私企</t>
        </is>
      </c>
      <c r="K2" t="inlineStr">
        <is>
          <t>预付30%，发货70%</t>
        </is>
      </c>
    </row>
    <row r="3">
      <c r="A3" t="inlineStr">
        <is>
          <t>SUP0002</t>
        </is>
      </c>
      <c r="B3" t="inlineStr">
        <is>
          <t>苏州德瑞机电贸易有限公司</t>
        </is>
      </c>
      <c r="C3" t="inlineStr">
        <is>
          <t>B</t>
        </is>
      </c>
      <c r="D3" t="inlineStr">
        <is>
          <t>李娜</t>
        </is>
      </c>
      <c r="E3" t="inlineStr">
        <is>
          <t>13800010002</t>
        </is>
      </c>
      <c r="F3" t="inlineStr">
        <is>
          <t>苏州市工业园区星湖街66号</t>
        </is>
      </c>
      <c r="G3" t="inlineStr">
        <is>
          <t>建行苏州分行 6222****0002</t>
        </is>
      </c>
      <c r="H3" t="inlineStr"/>
      <c r="I3" t="inlineStr"/>
      <c r="J3" t="inlineStr">
        <is>
          <t>私企</t>
        </is>
      </c>
      <c r="K3" t="inlineStr">
        <is>
          <t>月结</t>
        </is>
      </c>
    </row>
    <row r="4">
      <c r="A4" t="inlineStr">
        <is>
          <t>SUP0003</t>
        </is>
      </c>
      <c r="B4" t="inlineStr">
        <is>
          <t>德国贝克传动中国办事处</t>
        </is>
      </c>
      <c r="C4" t="inlineStr">
        <is>
          <t>A</t>
        </is>
      </c>
      <c r="D4" t="inlineStr">
        <is>
          <t>王晨</t>
        </is>
      </c>
      <c r="E4" t="inlineStr">
        <is>
          <t>13800010003</t>
        </is>
      </c>
      <c r="F4" t="inlineStr">
        <is>
          <t>北京市朝阳区建国路100号</t>
        </is>
      </c>
      <c r="G4" t="inlineStr">
        <is>
          <t>中行北京分行 6222****0003</t>
        </is>
      </c>
      <c r="H4" t="inlineStr"/>
      <c r="I4" t="inlineStr"/>
      <c r="J4" t="inlineStr">
        <is>
          <t>外企</t>
        </is>
      </c>
      <c r="K4" t="inlineStr">
        <is>
          <t>预付100%</t>
        </is>
      </c>
    </row>
    <row r="5">
      <c r="A5" t="inlineStr">
        <is>
          <t>SUP0004</t>
        </is>
      </c>
      <c r="B5" t="inlineStr">
        <is>
          <t>宁波华兴液压配件厂</t>
        </is>
      </c>
      <c r="C5" t="inlineStr">
        <is>
          <t>B</t>
        </is>
      </c>
      <c r="D5" t="inlineStr">
        <is>
          <t>赵磊</t>
        </is>
      </c>
      <c r="E5" t="inlineStr">
        <is>
          <t>13800010004</t>
        </is>
      </c>
      <c r="F5" t="inlineStr">
        <is>
          <t>宁波市北仑区富春江路18号</t>
        </is>
      </c>
      <c r="G5" t="inlineStr">
        <is>
          <t>农行宁波分行 6222****0004</t>
        </is>
      </c>
      <c r="H5" t="inlineStr"/>
      <c r="I5" t="inlineStr"/>
      <c r="J5" t="inlineStr">
        <is>
          <t>私企</t>
        </is>
      </c>
      <c r="K5" t="inlineStr">
        <is>
          <t>货到付款</t>
        </is>
      </c>
    </row>
    <row r="6">
      <c r="A6" t="inlineStr">
        <is>
          <t>SUP0005</t>
        </is>
      </c>
      <c r="B6" t="inlineStr">
        <is>
          <t>昆山宏达五金经营部</t>
        </is>
      </c>
      <c r="C6" t="inlineStr">
        <is>
          <t>C</t>
        </is>
      </c>
      <c r="D6" t="inlineStr">
        <is>
          <t>陈敏</t>
        </is>
      </c>
      <c r="E6" t="inlineStr">
        <is>
          <t>13800010005</t>
        </is>
      </c>
      <c r="F6" t="inlineStr">
        <is>
          <t>昆山市玉山镇前进路12号</t>
        </is>
      </c>
      <c r="G6" t="inlineStr">
        <is>
          <t>支付宝 13800010005</t>
        </is>
      </c>
      <c r="H6" t="inlineStr"/>
      <c r="I6" t="inlineStr"/>
      <c r="J6" t="inlineStr">
        <is>
          <t>个人</t>
        </is>
      </c>
      <c r="K6" t="inlineStr">
        <is>
          <t>现金</t>
        </is>
      </c>
    </row>
  </sheetData>
  <autoFilter ref="A1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7" t="inlineStr">
        <is>
          <t>备件编号</t>
        </is>
      </c>
      <c r="B1" s="37" t="inlineStr">
        <is>
          <t>产品名称</t>
        </is>
      </c>
      <c r="C1" s="37" t="inlineStr">
        <is>
          <t>技术描述</t>
        </is>
      </c>
      <c r="D1" s="37" t="inlineStr">
        <is>
          <t>单位</t>
        </is>
      </c>
      <c r="E1" s="37" t="inlineStr">
        <is>
          <t>当前库存</t>
        </is>
      </c>
      <c r="F1" s="37" t="inlineStr">
        <is>
          <t>安全库存</t>
        </is>
      </c>
      <c r="G1" s="37" t="inlineStr">
        <is>
          <t>照片</t>
        </is>
      </c>
      <c r="H1" s="37" t="inlineStr">
        <is>
          <t>应用设备</t>
        </is>
      </c>
      <c r="I1" s="37" t="inlineStr">
        <is>
          <t>备件类型</t>
        </is>
      </c>
      <c r="J1" s="37" t="inlineStr">
        <is>
          <t>质保时间</t>
        </is>
      </c>
      <c r="K1" s="37" t="inlineStr">
        <is>
          <t>产地</t>
        </is>
      </c>
    </row>
    <row r="2">
      <c r="A2" t="inlineStr">
        <is>
          <t>SP0001</t>
        </is>
      </c>
      <c r="B2" t="inlineStr">
        <is>
          <t>伺服驱动器</t>
        </is>
      </c>
      <c r="C2" t="inlineStr">
        <is>
          <t>MR-J4-70A 750W</t>
        </is>
      </c>
      <c r="D2" t="inlineStr">
        <is>
          <t>个</t>
        </is>
      </c>
      <c r="E2" t="n">
        <v>8</v>
      </c>
      <c r="F2" t="n">
        <v>2</v>
      </c>
      <c r="G2" t="inlineStr"/>
      <c r="H2" t="inlineStr">
        <is>
          <t>熔炼</t>
        </is>
      </c>
      <c r="I2" t="inlineStr">
        <is>
          <t>电气</t>
        </is>
      </c>
      <c r="J2" t="inlineStr">
        <is>
          <t>12个月</t>
        </is>
      </c>
      <c r="K2" t="inlineStr">
        <is>
          <t>日本</t>
        </is>
      </c>
    </row>
    <row r="3">
      <c r="A3" t="inlineStr">
        <is>
          <t>SP0002</t>
        </is>
      </c>
      <c r="B3" t="inlineStr">
        <is>
          <t>深沟球轴承</t>
        </is>
      </c>
      <c r="C3" t="inlineStr">
        <is>
          <t>6205 ZZ</t>
        </is>
      </c>
      <c r="D3" t="inlineStr">
        <is>
          <t>件</t>
        </is>
      </c>
      <c r="E3" t="n">
        <v>35</v>
      </c>
      <c r="F3" t="n">
        <v>10</v>
      </c>
      <c r="G3" t="inlineStr"/>
      <c r="H3" t="inlineStr">
        <is>
          <t>加热</t>
        </is>
      </c>
      <c r="I3" t="inlineStr">
        <is>
          <t>机械</t>
        </is>
      </c>
      <c r="J3" t="inlineStr">
        <is>
          <t>6个月</t>
        </is>
      </c>
      <c r="K3" t="inlineStr">
        <is>
          <t>中国</t>
        </is>
      </c>
    </row>
    <row r="4">
      <c r="A4" t="inlineStr">
        <is>
          <t>SP0003</t>
        </is>
      </c>
      <c r="B4" t="inlineStr">
        <is>
          <t>液压电磁阀</t>
        </is>
      </c>
      <c r="C4" t="inlineStr">
        <is>
          <t>DSG-03-3C2-D24</t>
        </is>
      </c>
      <c r="D4" t="inlineStr">
        <is>
          <t>个</t>
        </is>
      </c>
      <c r="E4" t="n">
        <v>12</v>
      </c>
      <c r="F4" t="n">
        <v>4</v>
      </c>
      <c r="G4" t="inlineStr"/>
      <c r="H4" t="inlineStr">
        <is>
          <t>其它</t>
        </is>
      </c>
      <c r="I4" t="inlineStr">
        <is>
          <t>液体</t>
        </is>
      </c>
      <c r="J4" t="inlineStr">
        <is>
          <t>12个月</t>
        </is>
      </c>
      <c r="K4" t="inlineStr">
        <is>
          <t>德国</t>
        </is>
      </c>
    </row>
    <row r="5">
      <c r="A5" t="inlineStr">
        <is>
          <t>SP0004</t>
        </is>
      </c>
      <c r="B5" t="inlineStr">
        <is>
          <t>高温密封圈</t>
        </is>
      </c>
      <c r="C5" t="inlineStr">
        <is>
          <t>FKM 80*95*8</t>
        </is>
      </c>
      <c r="D5" t="inlineStr">
        <is>
          <t>套</t>
        </is>
      </c>
      <c r="E5" t="n">
        <v>50</v>
      </c>
      <c r="F5" t="n">
        <v>15</v>
      </c>
      <c r="G5" t="inlineStr"/>
      <c r="H5" t="inlineStr">
        <is>
          <t>熔炼</t>
        </is>
      </c>
      <c r="I5" t="inlineStr">
        <is>
          <t>其它</t>
        </is>
      </c>
      <c r="J5" t="inlineStr">
        <is>
          <t>1个月</t>
        </is>
      </c>
      <c r="K5" t="inlineStr">
        <is>
          <t>美国</t>
        </is>
      </c>
    </row>
    <row r="6">
      <c r="A6" t="inlineStr">
        <is>
          <t>SP0005</t>
        </is>
      </c>
      <c r="B6" t="inlineStr">
        <is>
          <t>温度传感器</t>
        </is>
      </c>
      <c r="C6" t="inlineStr">
        <is>
          <t>PT100 M8 探头</t>
        </is>
      </c>
      <c r="D6" t="inlineStr">
        <is>
          <t>个</t>
        </is>
      </c>
      <c r="E6" t="n">
        <v>20</v>
      </c>
      <c r="F6" t="n">
        <v>6</v>
      </c>
      <c r="G6" t="inlineStr"/>
      <c r="H6" t="inlineStr">
        <is>
          <t>加热</t>
        </is>
      </c>
      <c r="I6" t="inlineStr">
        <is>
          <t>电气</t>
        </is>
      </c>
      <c r="J6" t="inlineStr">
        <is>
          <t>6个月</t>
        </is>
      </c>
      <c r="K6" t="inlineStr">
        <is>
          <t>中国</t>
        </is>
      </c>
    </row>
  </sheetData>
  <autoFilter ref="A1:K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7" t="inlineStr">
        <is>
          <t>编号</t>
        </is>
      </c>
      <c r="B1" s="37" t="inlineStr">
        <is>
          <t>名称</t>
        </is>
      </c>
      <c r="C1" s="37" t="inlineStr">
        <is>
          <t>等级</t>
        </is>
      </c>
      <c r="D1" s="37" t="inlineStr">
        <is>
          <t>联系人</t>
        </is>
      </c>
      <c r="E1" s="37" t="inlineStr">
        <is>
          <t>电话</t>
        </is>
      </c>
      <c r="F1" s="37" t="inlineStr">
        <is>
          <t>地址</t>
        </is>
      </c>
      <c r="G1" s="37" t="inlineStr">
        <is>
          <t>账户信息</t>
        </is>
      </c>
      <c r="H1" s="37" t="inlineStr">
        <is>
          <t>照片</t>
        </is>
      </c>
      <c r="I1" s="37" t="inlineStr">
        <is>
          <t>公司资料</t>
        </is>
      </c>
      <c r="J1" s="37" t="inlineStr">
        <is>
          <t>公司类型</t>
        </is>
      </c>
      <c r="K1" s="37" t="inlineStr">
        <is>
          <t>结算时间</t>
        </is>
      </c>
      <c r="L1" s="37" t="inlineStr">
        <is>
          <t>应付金额</t>
        </is>
      </c>
      <c r="M1" s="37" t="inlineStr">
        <is>
          <t>实收金额</t>
        </is>
      </c>
    </row>
    <row r="2">
      <c r="A2" t="inlineStr">
        <is>
          <t>CUS0001</t>
        </is>
      </c>
      <c r="B2" t="inlineStr">
        <is>
          <t>上海一厂设备部</t>
        </is>
      </c>
      <c r="C2" t="inlineStr">
        <is>
          <t>A</t>
        </is>
      </c>
      <c r="D2" t="inlineStr">
        <is>
          <t>刘工</t>
        </is>
      </c>
      <c r="E2" t="inlineStr">
        <is>
          <t>13900020001</t>
        </is>
      </c>
      <c r="F2" t="inlineStr">
        <is>
          <t>上海市宝山区铁山路9号</t>
        </is>
      </c>
      <c r="G2" t="inlineStr">
        <is>
          <t>工行上海分行 6222****1001</t>
        </is>
      </c>
      <c r="H2" t="inlineStr"/>
      <c r="I2" t="inlineStr"/>
      <c r="J2" t="inlineStr">
        <is>
          <t>私企</t>
        </is>
      </c>
      <c r="K2" t="inlineStr">
        <is>
          <t>月结</t>
        </is>
      </c>
      <c r="L2" t="n">
        <v>9800</v>
      </c>
      <c r="M2" t="n">
        <v>8000</v>
      </c>
    </row>
    <row r="3">
      <c r="A3" t="inlineStr">
        <is>
          <t>CUS0002</t>
        </is>
      </c>
      <c r="B3" t="inlineStr">
        <is>
          <t>苏州精密制造有限公司</t>
        </is>
      </c>
      <c r="C3" t="inlineStr">
        <is>
          <t>B</t>
        </is>
      </c>
      <c r="D3" t="inlineStr">
        <is>
          <t>周经理</t>
        </is>
      </c>
      <c r="E3" t="inlineStr">
        <is>
          <t>13900020002</t>
        </is>
      </c>
      <c r="F3" t="inlineStr">
        <is>
          <t>苏州市吴中区金枫路99号</t>
        </is>
      </c>
      <c r="G3" t="inlineStr">
        <is>
          <t>建行苏州分行 6222****1002</t>
        </is>
      </c>
      <c r="H3" t="inlineStr"/>
      <c r="I3" t="inlineStr"/>
      <c r="J3" t="inlineStr">
        <is>
          <t>私企</t>
        </is>
      </c>
      <c r="K3" t="inlineStr">
        <is>
          <t>预付30%，发货70%</t>
        </is>
      </c>
      <c r="L3" t="n">
        <v>4200</v>
      </c>
      <c r="M3" t="n">
        <v>4200</v>
      </c>
    </row>
    <row r="4">
      <c r="A4" t="inlineStr">
        <is>
          <t>CUS0003</t>
        </is>
      </c>
      <c r="B4" t="inlineStr">
        <is>
          <t>杭州热处理中心</t>
        </is>
      </c>
      <c r="C4" t="inlineStr">
        <is>
          <t>A</t>
        </is>
      </c>
      <c r="D4" t="inlineStr">
        <is>
          <t>钱工</t>
        </is>
      </c>
      <c r="E4" t="inlineStr">
        <is>
          <t>13900020003</t>
        </is>
      </c>
      <c r="F4" t="inlineStr">
        <is>
          <t>杭州市萧山区建设一路18号</t>
        </is>
      </c>
      <c r="G4" t="inlineStr">
        <is>
          <t>中行杭州分行 6222****1003</t>
        </is>
      </c>
      <c r="H4" t="inlineStr"/>
      <c r="I4" t="inlineStr"/>
      <c r="J4" t="inlineStr">
        <is>
          <t>外企</t>
        </is>
      </c>
      <c r="K4" t="inlineStr">
        <is>
          <t>预付100%</t>
        </is>
      </c>
      <c r="L4" t="n">
        <v>7600</v>
      </c>
      <c r="M4" t="n">
        <v>7600</v>
      </c>
    </row>
    <row r="5">
      <c r="A5" t="inlineStr">
        <is>
          <t>CUS0004</t>
        </is>
      </c>
      <c r="B5" t="inlineStr">
        <is>
          <t>宁波压铸有限公司</t>
        </is>
      </c>
      <c r="C5" t="inlineStr">
        <is>
          <t>B</t>
        </is>
      </c>
      <c r="D5" t="inlineStr">
        <is>
          <t>孙工</t>
        </is>
      </c>
      <c r="E5" t="inlineStr">
        <is>
          <t>13900020004</t>
        </is>
      </c>
      <c r="F5" t="inlineStr">
        <is>
          <t>宁波市镇海区骆驼街道66号</t>
        </is>
      </c>
      <c r="G5" t="inlineStr">
        <is>
          <t>农行宁波分行 6222****1004</t>
        </is>
      </c>
      <c r="H5" t="inlineStr"/>
      <c r="I5" t="inlineStr"/>
      <c r="J5" t="inlineStr">
        <is>
          <t>私企</t>
        </is>
      </c>
      <c r="K5" t="inlineStr">
        <is>
          <t>货到付款</t>
        </is>
      </c>
      <c r="L5" t="n">
        <v>3500</v>
      </c>
      <c r="M5" t="n">
        <v>2000</v>
      </c>
    </row>
    <row r="6">
      <c r="A6" t="inlineStr">
        <is>
          <t>CUS0005</t>
        </is>
      </c>
      <c r="B6" t="inlineStr">
        <is>
          <t>无锡设备维修站</t>
        </is>
      </c>
      <c r="C6" t="inlineStr">
        <is>
          <t>C</t>
        </is>
      </c>
      <c r="D6" t="inlineStr">
        <is>
          <t>吴师傅</t>
        </is>
      </c>
      <c r="E6" t="inlineStr">
        <is>
          <t>13900020005</t>
        </is>
      </c>
      <c r="F6" t="inlineStr">
        <is>
          <t>无锡市新吴区长江路28号</t>
        </is>
      </c>
      <c r="G6" t="inlineStr">
        <is>
          <t>微信 13900020005</t>
        </is>
      </c>
      <c r="H6" t="inlineStr"/>
      <c r="I6" t="inlineStr"/>
      <c r="J6" t="inlineStr">
        <is>
          <t>个人</t>
        </is>
      </c>
      <c r="K6" t="inlineStr">
        <is>
          <t>现金</t>
        </is>
      </c>
      <c r="L6" t="n">
        <v>1200</v>
      </c>
      <c r="M6" t="n">
        <v>1200</v>
      </c>
    </row>
  </sheetData>
  <autoFilter ref="A1:M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37" t="inlineStr">
        <is>
          <t>采购单号</t>
        </is>
      </c>
      <c r="B1" s="37" t="inlineStr">
        <is>
          <t>供应商</t>
        </is>
      </c>
      <c r="C1" s="37" t="inlineStr">
        <is>
          <t>采购日期</t>
        </is>
      </c>
      <c r="D1" s="37" t="inlineStr">
        <is>
          <t>备件编号</t>
        </is>
      </c>
      <c r="E1" s="37" t="inlineStr">
        <is>
          <t>产品名称</t>
        </is>
      </c>
      <c r="F1" s="37" t="inlineStr">
        <is>
          <t>技术描述</t>
        </is>
      </c>
      <c r="G1" s="37" t="inlineStr">
        <is>
          <t>单位</t>
        </is>
      </c>
      <c r="H1" s="37" t="inlineStr">
        <is>
          <t>数量</t>
        </is>
      </c>
      <c r="I1" s="37" t="inlineStr">
        <is>
          <t>单价</t>
        </is>
      </c>
      <c r="J1" s="37" t="inlineStr">
        <is>
          <t>合计</t>
        </is>
      </c>
      <c r="K1" s="37" t="inlineStr">
        <is>
          <t>照片</t>
        </is>
      </c>
      <c r="L1" s="37" t="inlineStr">
        <is>
          <t>应用设备</t>
        </is>
      </c>
      <c r="M1" s="37" t="inlineStr">
        <is>
          <t>备件类型</t>
        </is>
      </c>
      <c r="N1" s="37" t="inlineStr">
        <is>
          <t>质保时间</t>
        </is>
      </c>
      <c r="O1" s="37" t="inlineStr">
        <is>
          <t>产地</t>
        </is>
      </c>
    </row>
    <row r="2">
      <c r="A2" t="inlineStr">
        <is>
          <t>PO202606190001</t>
        </is>
      </c>
      <c r="B2" t="inlineStr">
        <is>
          <t>上海精工自动化有限公司</t>
        </is>
      </c>
      <c r="C2" t="inlineStr">
        <is>
          <t>2026-06-19</t>
        </is>
      </c>
      <c r="D2" t="inlineStr">
        <is>
          <t>SP0001</t>
        </is>
      </c>
      <c r="E2" t="inlineStr">
        <is>
          <t>伺服驱动器</t>
        </is>
      </c>
      <c r="F2" t="inlineStr">
        <is>
          <t>MR-J4-70A 750W</t>
        </is>
      </c>
      <c r="G2" t="inlineStr">
        <is>
          <t>个</t>
        </is>
      </c>
      <c r="H2" t="n">
        <v>2</v>
      </c>
      <c r="I2" t="n">
        <v>3200</v>
      </c>
      <c r="J2" t="n">
        <v>6400</v>
      </c>
      <c r="K2" t="inlineStr"/>
      <c r="L2" t="inlineStr">
        <is>
          <t>熔炼</t>
        </is>
      </c>
      <c r="M2" t="inlineStr">
        <is>
          <t>电气</t>
        </is>
      </c>
      <c r="N2" t="inlineStr">
        <is>
          <t>12个月</t>
        </is>
      </c>
      <c r="O2" t="inlineStr">
        <is>
          <t>日本</t>
        </is>
      </c>
    </row>
    <row r="3">
      <c r="A3" t="inlineStr">
        <is>
          <t>PO202606190002</t>
        </is>
      </c>
      <c r="B3" t="inlineStr">
        <is>
          <t>苏州德瑞机电贸易有限公司</t>
        </is>
      </c>
      <c r="C3" t="inlineStr">
        <is>
          <t>2026-06-19</t>
        </is>
      </c>
      <c r="D3" t="inlineStr">
        <is>
          <t>SP0002</t>
        </is>
      </c>
      <c r="E3" t="inlineStr">
        <is>
          <t>深沟球轴承</t>
        </is>
      </c>
      <c r="F3" t="inlineStr">
        <is>
          <t>6205 ZZ</t>
        </is>
      </c>
      <c r="G3" t="inlineStr">
        <is>
          <t>件</t>
        </is>
      </c>
      <c r="H3" t="n">
        <v>10</v>
      </c>
      <c r="I3" t="n">
        <v>18</v>
      </c>
      <c r="J3" t="n">
        <v>180</v>
      </c>
      <c r="K3" t="inlineStr"/>
      <c r="L3" t="inlineStr">
        <is>
          <t>加热</t>
        </is>
      </c>
      <c r="M3" t="inlineStr">
        <is>
          <t>机械</t>
        </is>
      </c>
      <c r="N3" t="inlineStr">
        <is>
          <t>6个月</t>
        </is>
      </c>
      <c r="O3" t="inlineStr">
        <is>
          <t>中国</t>
        </is>
      </c>
    </row>
    <row r="4">
      <c r="A4" t="inlineStr">
        <is>
          <t>PO202606190003</t>
        </is>
      </c>
      <c r="B4" t="inlineStr">
        <is>
          <t>德国贝克传动中国办事处</t>
        </is>
      </c>
      <c r="C4" t="inlineStr">
        <is>
          <t>2026-06-19</t>
        </is>
      </c>
      <c r="D4" t="inlineStr">
        <is>
          <t>SP0003</t>
        </is>
      </c>
      <c r="E4" t="inlineStr">
        <is>
          <t>液压电磁阀</t>
        </is>
      </c>
      <c r="F4" t="inlineStr">
        <is>
          <t>DSG-03-3C2-D24</t>
        </is>
      </c>
      <c r="G4" t="inlineStr">
        <is>
          <t>个</t>
        </is>
      </c>
      <c r="H4" t="n">
        <v>3</v>
      </c>
      <c r="I4" t="n">
        <v>860</v>
      </c>
      <c r="J4" t="n">
        <v>2580</v>
      </c>
      <c r="K4" t="inlineStr"/>
      <c r="L4" t="inlineStr">
        <is>
          <t>其它</t>
        </is>
      </c>
      <c r="M4" t="inlineStr">
        <is>
          <t>液体</t>
        </is>
      </c>
      <c r="N4" t="inlineStr">
        <is>
          <t>12个月</t>
        </is>
      </c>
      <c r="O4" t="inlineStr">
        <is>
          <t>德国</t>
        </is>
      </c>
    </row>
    <row r="5">
      <c r="A5" t="inlineStr">
        <is>
          <t>PO202606190004</t>
        </is>
      </c>
      <c r="B5" t="inlineStr">
        <is>
          <t>宁波华兴液压配件厂</t>
        </is>
      </c>
      <c r="C5" t="inlineStr">
        <is>
          <t>2026-06-19</t>
        </is>
      </c>
      <c r="D5" t="inlineStr">
        <is>
          <t>SP0004</t>
        </is>
      </c>
      <c r="E5" t="inlineStr">
        <is>
          <t>高温密封圈</t>
        </is>
      </c>
      <c r="F5" t="inlineStr">
        <is>
          <t>FKM 80*95*8</t>
        </is>
      </c>
      <c r="G5" t="inlineStr">
        <is>
          <t>套</t>
        </is>
      </c>
      <c r="H5" t="n">
        <v>20</v>
      </c>
      <c r="I5" t="n">
        <v>35</v>
      </c>
      <c r="J5" t="n">
        <v>700</v>
      </c>
      <c r="K5" t="inlineStr"/>
      <c r="L5" t="inlineStr">
        <is>
          <t>熔炼</t>
        </is>
      </c>
      <c r="M5" t="inlineStr">
        <is>
          <t>其它</t>
        </is>
      </c>
      <c r="N5" t="inlineStr">
        <is>
          <t>1个月</t>
        </is>
      </c>
      <c r="O5" t="inlineStr">
        <is>
          <t>美国</t>
        </is>
      </c>
    </row>
    <row r="6">
      <c r="A6" t="inlineStr">
        <is>
          <t>PO202606190005</t>
        </is>
      </c>
      <c r="B6" t="inlineStr">
        <is>
          <t>昆山宏达五金经营部</t>
        </is>
      </c>
      <c r="C6" t="inlineStr">
        <is>
          <t>2026-06-19</t>
        </is>
      </c>
      <c r="D6" t="inlineStr">
        <is>
          <t>SP0005</t>
        </is>
      </c>
      <c r="E6" t="inlineStr">
        <is>
          <t>温度传感器</t>
        </is>
      </c>
      <c r="F6" t="inlineStr">
        <is>
          <t>PT100 M8 探头</t>
        </is>
      </c>
      <c r="G6" t="inlineStr">
        <is>
          <t>个</t>
        </is>
      </c>
      <c r="H6" t="n">
        <v>5</v>
      </c>
      <c r="I6" t="n">
        <v>120</v>
      </c>
      <c r="J6" t="n">
        <v>600</v>
      </c>
      <c r="K6" t="inlineStr"/>
      <c r="L6" t="inlineStr">
        <is>
          <t>加热</t>
        </is>
      </c>
      <c r="M6" t="inlineStr">
        <is>
          <t>电气</t>
        </is>
      </c>
      <c r="N6" t="inlineStr">
        <is>
          <t>6个月</t>
        </is>
      </c>
      <c r="O6" t="inlineStr">
        <is>
          <t>中国</t>
        </is>
      </c>
    </row>
  </sheetData>
  <autoFilter ref="A1:O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7" t="inlineStr">
        <is>
          <t>备件编号</t>
        </is>
      </c>
      <c r="B1" s="37" t="inlineStr">
        <is>
          <t>产品名称</t>
        </is>
      </c>
      <c r="C1" s="37" t="inlineStr">
        <is>
          <t>技术描述</t>
        </is>
      </c>
      <c r="D1" s="37" t="inlineStr">
        <is>
          <t>单位</t>
        </is>
      </c>
      <c r="E1" s="37" t="inlineStr">
        <is>
          <t>数量</t>
        </is>
      </c>
      <c r="F1" s="37" t="inlineStr">
        <is>
          <t>单价</t>
        </is>
      </c>
      <c r="G1" s="37" t="inlineStr">
        <is>
          <t>合计</t>
        </is>
      </c>
      <c r="H1" s="37" t="inlineStr">
        <is>
          <t>货期</t>
        </is>
      </c>
    </row>
    <row r="2">
      <c r="A2" t="inlineStr">
        <is>
          <t>SP0001</t>
        </is>
      </c>
      <c r="B2" t="inlineStr">
        <is>
          <t>伺服驱动器</t>
        </is>
      </c>
      <c r="C2" t="inlineStr">
        <is>
          <t>MR-J4-70A 750W</t>
        </is>
      </c>
      <c r="D2" t="inlineStr">
        <is>
          <t>个</t>
        </is>
      </c>
      <c r="E2" t="n">
        <v>1</v>
      </c>
      <c r="F2" t="n">
        <v>3900</v>
      </c>
      <c r="G2" t="n">
        <v>3900</v>
      </c>
      <c r="H2" t="inlineStr">
        <is>
          <t>2026-06-25</t>
        </is>
      </c>
    </row>
    <row r="3">
      <c r="A3" t="inlineStr">
        <is>
          <t>SP0002</t>
        </is>
      </c>
      <c r="B3" t="inlineStr">
        <is>
          <t>深沟球轴承</t>
        </is>
      </c>
      <c r="C3" t="inlineStr">
        <is>
          <t>6205 ZZ</t>
        </is>
      </c>
      <c r="D3" t="inlineStr">
        <is>
          <t>件</t>
        </is>
      </c>
      <c r="E3" t="n">
        <v>6</v>
      </c>
      <c r="F3" t="n">
        <v>30</v>
      </c>
      <c r="G3" t="n">
        <v>180</v>
      </c>
      <c r="H3" t="inlineStr">
        <is>
          <t>2026-06-22</t>
        </is>
      </c>
    </row>
    <row r="4">
      <c r="A4" t="inlineStr">
        <is>
          <t>SP0003</t>
        </is>
      </c>
      <c r="B4" t="inlineStr">
        <is>
          <t>液压电磁阀</t>
        </is>
      </c>
      <c r="C4" t="inlineStr">
        <is>
          <t>DSG-03-3C2-D24</t>
        </is>
      </c>
      <c r="D4" t="inlineStr">
        <is>
          <t>个</t>
        </is>
      </c>
      <c r="E4" t="n">
        <v>2</v>
      </c>
      <c r="F4" t="n">
        <v>1200</v>
      </c>
      <c r="G4" t="n">
        <v>2400</v>
      </c>
      <c r="H4" t="inlineStr">
        <is>
          <t>2026-06-28</t>
        </is>
      </c>
    </row>
    <row r="5">
      <c r="A5" t="inlineStr">
        <is>
          <t>SP0004</t>
        </is>
      </c>
      <c r="B5" t="inlineStr">
        <is>
          <t>高温密封圈</t>
        </is>
      </c>
      <c r="C5" t="inlineStr">
        <is>
          <t>FKM 80*95*8</t>
        </is>
      </c>
      <c r="D5" t="inlineStr">
        <is>
          <t>套</t>
        </is>
      </c>
      <c r="E5" t="n">
        <v>12</v>
      </c>
      <c r="F5" t="n">
        <v>58</v>
      </c>
      <c r="G5" t="n">
        <v>696</v>
      </c>
      <c r="H5" t="inlineStr">
        <is>
          <t>2026-06-23</t>
        </is>
      </c>
    </row>
    <row r="6">
      <c r="A6" t="inlineStr">
        <is>
          <t>SP0005</t>
        </is>
      </c>
      <c r="B6" t="inlineStr">
        <is>
          <t>温度传感器</t>
        </is>
      </c>
      <c r="C6" t="inlineStr">
        <is>
          <t>PT100 M8 探头</t>
        </is>
      </c>
      <c r="D6" t="inlineStr">
        <is>
          <t>个</t>
        </is>
      </c>
      <c r="E6" t="n">
        <v>4</v>
      </c>
      <c r="F6" t="n">
        <v>180</v>
      </c>
      <c r="G6" t="n">
        <v>720</v>
      </c>
      <c r="H6" t="inlineStr">
        <is>
          <t>2026-06-24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he_al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2026-06-19T00:40:46Z</dcterms:modified>
  <cp:lastModifiedBy>Liu, Leo</cp:lastModifiedBy>
</cp:coreProperties>
</file>